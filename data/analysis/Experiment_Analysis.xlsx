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9833\Downloads\"/>
    </mc:Choice>
  </mc:AlternateContent>
  <xr:revisionPtr revIDLastSave="0" documentId="13_ncr:1_{99EC8EE2-4525-4F83-B31D-3FEE0A563A45}" xr6:coauthVersionLast="47" xr6:coauthVersionMax="47" xr10:uidLastSave="{00000000-0000-0000-0000-000000000000}"/>
  <bookViews>
    <workbookView xWindow="-108" yWindow="-108" windowWidth="23256" windowHeight="13896" activeTab="1" xr2:uid="{D0179B36-D143-4D5E-9018-C39782659587}"/>
  </bookViews>
  <sheets>
    <sheet name="Sheet1" sheetId="1" r:id="rId1"/>
    <sheet name="Sheet2" sheetId="2" r:id="rId2"/>
    <sheet name="Hypothesis Testing" sheetId="3" r:id="rId3"/>
  </sheets>
  <definedNames>
    <definedName name="_xlnm._FilterDatabase" localSheetId="0" hidden="1">Sheet1!$A$1:$P$1409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  <c r="C3" i="2"/>
  <c r="C2" i="2"/>
  <c r="B9" i="3"/>
  <c r="B10" i="3" s="1"/>
  <c r="B11" i="3" s="1"/>
  <c r="B8" i="3"/>
  <c r="B7" i="3"/>
  <c r="B6" i="3"/>
  <c r="B5" i="3"/>
  <c r="B2" i="3"/>
  <c r="B3" i="3" s="1"/>
  <c r="B4" i="3"/>
  <c r="B1" i="3"/>
  <c r="B9" i="2" l="1"/>
  <c r="B3" i="2"/>
  <c r="B8" i="2"/>
  <c r="B2" i="2"/>
  <c r="B7" i="2"/>
  <c r="B6" i="2"/>
  <c r="B5" i="2"/>
  <c r="B4" i="2"/>
</calcChain>
</file>

<file path=xl/sharedStrings.xml><?xml version="1.0" encoding="utf-8"?>
<sst xmlns="http://schemas.openxmlformats.org/spreadsheetml/2006/main" count="8444" uniqueCount="1455">
  <si>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</si>
  <si>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</si>
  <si>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</si>
  <si>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</si>
  <si>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</si>
  <si>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</si>
  <si>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</si>
  <si>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</si>
  <si>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</si>
  <si>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</si>
  <si>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</si>
  <si>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</si>
  <si>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</si>
  <si>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</si>
  <si>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</si>
  <si>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</si>
  <si>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</si>
  <si>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</si>
  <si>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</si>
  <si>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</si>
  <si>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</si>
  <si>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</si>
  <si>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</si>
  <si>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</si>
  <si>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</si>
  <si>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</si>
  <si>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</si>
  <si>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</si>
  <si>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</si>
  <si>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</si>
  <si>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</si>
  <si>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</si>
  <si>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</si>
  <si>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</si>
  <si>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</si>
  <si>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</si>
  <si>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</si>
  <si>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</si>
  <si>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</si>
  <si>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</si>
  <si>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</si>
  <si>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</si>
  <si>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</si>
  <si>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</si>
  <si>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</si>
  <si>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</si>
  <si>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</si>
  <si>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</si>
  <si>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</si>
  <si>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</si>
  <si>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</si>
  <si>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</si>
  <si>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</si>
  <si>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</si>
  <si>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</si>
  <si>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</si>
  <si>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</si>
  <si>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</si>
  <si>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</si>
  <si>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</si>
  <si>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</si>
  <si>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</si>
  <si>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</si>
  <si>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</si>
  <si>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</si>
  <si>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</si>
  <si>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</si>
  <si>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</si>
  <si>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</si>
  <si>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</si>
  <si>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</si>
  <si>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</si>
  <si>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</si>
  <si>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</si>
  <si>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</si>
  <si>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</si>
  <si>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</si>
  <si>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</si>
  <si>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</si>
  <si>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</si>
  <si>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</si>
  <si>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</si>
  <si>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</si>
  <si>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</si>
  <si>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</si>
  <si>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</si>
  <si>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</si>
  <si>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</si>
  <si>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</si>
  <si>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</si>
  <si>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</si>
  <si>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</si>
  <si>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</si>
  <si>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</si>
  <si>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</si>
  <si>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</si>
  <si>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</si>
  <si>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</si>
  <si>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</si>
  <si>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</si>
  <si>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</si>
  <si>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</si>
  <si>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</si>
  <si>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</si>
  <si>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</si>
  <si>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</si>
  <si>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</si>
  <si>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</si>
  <si>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</si>
  <si>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</si>
  <si>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</si>
  <si>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</si>
  <si>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</si>
  <si>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</si>
  <si>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</si>
  <si>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</si>
  <si>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</si>
  <si>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</si>
  <si>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</si>
  <si>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</si>
  <si>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</si>
  <si>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</si>
  <si>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</si>
  <si>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</si>
  <si>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</si>
  <si>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</si>
  <si>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</si>
  <si>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</si>
  <si>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</si>
  <si>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</si>
  <si>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</si>
  <si>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</si>
  <si>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</si>
  <si>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</si>
  <si>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</si>
  <si>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</si>
  <si>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</si>
  <si>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</si>
  <si>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</si>
  <si>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</si>
  <si>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</si>
  <si>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</si>
  <si>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</si>
  <si>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</si>
  <si>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</si>
  <si>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</si>
  <si>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</si>
  <si>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</si>
  <si>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</si>
  <si>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</si>
  <si>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</si>
  <si>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</si>
  <si>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</si>
  <si>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</si>
  <si>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</si>
  <si>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</si>
  <si>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</si>
  <si>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</si>
  <si>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</si>
  <si>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</si>
  <si>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</si>
  <si>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</si>
  <si>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</si>
  <si>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</si>
  <si>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</si>
  <si>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</si>
  <si>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</si>
  <si>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</si>
  <si>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</si>
  <si>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</si>
  <si>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</si>
  <si>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</si>
  <si>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</si>
  <si>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</si>
  <si>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</si>
  <si>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</si>
  <si>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</si>
  <si>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</si>
  <si>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</si>
  <si>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</si>
  <si>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</si>
  <si>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</si>
  <si>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</si>
  <si>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</si>
  <si>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</si>
  <si>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</si>
  <si>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</si>
  <si>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</si>
  <si>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</si>
  <si>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</si>
  <si>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</si>
  <si>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</si>
  <si>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</si>
  <si>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</si>
  <si>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</si>
  <si>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</si>
  <si>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</si>
  <si>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</si>
  <si>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</si>
  <si>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</si>
  <si>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</si>
  <si>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</si>
  <si>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</si>
  <si>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</si>
  <si>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</si>
  <si>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</si>
  <si>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</si>
  <si>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</si>
  <si>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</si>
  <si>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</si>
  <si>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</si>
  <si>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</si>
  <si>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</si>
  <si>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</si>
  <si>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</si>
  <si>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</si>
  <si>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</si>
  <si>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</si>
  <si>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</si>
  <si>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</si>
  <si>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</si>
  <si>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</si>
  <si>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</si>
  <si>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</si>
  <si>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</si>
  <si>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</si>
  <si>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</si>
  <si>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</si>
  <si>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</si>
  <si>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</si>
  <si>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</si>
  <si>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</si>
  <si>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</si>
  <si>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</si>
  <si>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</si>
  <si>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</si>
  <si>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</si>
  <si>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</si>
  <si>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</si>
  <si>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</si>
  <si>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</si>
  <si>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</si>
  <si>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</si>
  <si>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</si>
  <si>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</si>
  <si>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</si>
  <si>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</si>
  <si>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</si>
  <si>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</si>
  <si>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</si>
  <si>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</si>
  <si>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</si>
  <si>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</si>
  <si>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</si>
  <si>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</si>
  <si>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</si>
  <si>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</si>
  <si>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</si>
  <si>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</si>
  <si>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</si>
  <si>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</si>
  <si>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</si>
  <si>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</si>
  <si>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</si>
  <si>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</si>
  <si>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</si>
  <si>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</si>
  <si>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</si>
  <si>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</si>
  <si>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</si>
  <si>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</si>
  <si>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</si>
  <si>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</si>
  <si>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</si>
  <si>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</si>
  <si>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</si>
  <si>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</si>
  <si>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</si>
  <si>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</si>
  <si>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</si>
  <si>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</si>
  <si>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</si>
  <si>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</si>
  <si>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</si>
  <si>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</si>
  <si>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</si>
  <si>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</si>
  <si>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</si>
  <si>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</si>
  <si>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</si>
  <si>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</si>
  <si>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</si>
  <si>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</si>
  <si>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</si>
  <si>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</si>
  <si>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</si>
  <si>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</si>
  <si>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</si>
  <si>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</si>
  <si>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</si>
  <si>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</si>
  <si>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</si>
  <si>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</si>
  <si>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</si>
  <si>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</si>
  <si>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</si>
  <si>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</si>
  <si>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</si>
  <si>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</si>
  <si>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</si>
  <si>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</si>
  <si>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</si>
  <si>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</si>
  <si>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</si>
  <si>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</si>
  <si>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</si>
  <si>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</si>
  <si>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</si>
  <si>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</si>
  <si>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</si>
  <si>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</si>
  <si>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</si>
  <si>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</si>
  <si>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</si>
  <si>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</si>
  <si>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</si>
  <si>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</si>
  <si>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</si>
  <si>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</si>
  <si>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</si>
  <si>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</si>
  <si>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</si>
  <si>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</si>
  <si>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</si>
  <si>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</si>
  <si>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</si>
  <si>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</si>
  <si>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</si>
  <si>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</si>
  <si>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</si>
  <si>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</si>
  <si>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</si>
  <si>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</si>
  <si>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</si>
  <si>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</si>
  <si>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</si>
  <si>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</si>
  <si>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</si>
  <si>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</si>
  <si>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</si>
  <si>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</si>
  <si>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</si>
  <si>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</si>
  <si>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</si>
  <si>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</si>
  <si>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</si>
  <si>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</si>
  <si>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</si>
  <si>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</si>
  <si>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</si>
  <si>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</si>
  <si>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</si>
  <si>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</si>
  <si>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</si>
  <si>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</si>
  <si>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</si>
  <si>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</si>
  <si>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</si>
  <si>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</si>
  <si>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</si>
  <si>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</si>
  <si>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</si>
  <si>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</si>
  <si>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</si>
  <si>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</si>
  <si>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</si>
  <si>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</si>
  <si>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</si>
  <si>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</si>
  <si>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</si>
  <si>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</si>
  <si>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</si>
  <si>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</si>
  <si>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</si>
  <si>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</si>
  <si>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</si>
  <si>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</si>
  <si>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</si>
  <si>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</si>
  <si>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</si>
  <si>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</si>
  <si>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</si>
  <si>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</si>
  <si>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</si>
  <si>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</si>
  <si>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</si>
  <si>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</si>
  <si>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</si>
  <si>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</si>
  <si>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</si>
  <si>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</si>
  <si>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</si>
  <si>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</si>
  <si>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</si>
  <si>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</si>
  <si>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</si>
  <si>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</si>
  <si>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</si>
  <si>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</si>
  <si>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</si>
  <si>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</si>
  <si>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</si>
  <si>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</si>
  <si>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</si>
  <si>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</si>
  <si>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</si>
  <si>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</si>
  <si>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</si>
  <si>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</si>
  <si>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</si>
  <si>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</si>
  <si>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</si>
  <si>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</si>
  <si>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</si>
  <si>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</si>
  <si>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</si>
  <si>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</si>
  <si>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</si>
  <si>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</si>
  <si>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</si>
  <si>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</si>
  <si>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</si>
  <si>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</si>
  <si>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</si>
  <si>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</si>
  <si>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</si>
  <si>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</si>
  <si>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</si>
  <si>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</si>
  <si>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</si>
  <si>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</si>
  <si>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</si>
  <si>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</si>
  <si>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</si>
  <si>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</si>
  <si>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</si>
  <si>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</si>
  <si>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</si>
  <si>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</si>
  <si>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</si>
  <si>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</si>
  <si>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</si>
  <si>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</si>
  <si>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</si>
  <si>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</si>
  <si>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</si>
  <si>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</si>
  <si>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</si>
  <si>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</si>
  <si>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</si>
  <si>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</si>
  <si>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</si>
  <si>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</si>
  <si>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</si>
  <si>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</si>
  <si>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</si>
  <si>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</si>
  <si>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</si>
  <si>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</si>
  <si>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</si>
  <si>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</si>
  <si>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</si>
  <si>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</si>
  <si>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</si>
  <si>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</si>
  <si>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</si>
  <si>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</si>
  <si>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</si>
  <si>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</si>
  <si>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</si>
  <si>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</si>
  <si>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</si>
  <si>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</si>
  <si>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</si>
  <si>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</si>
  <si>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</si>
  <si>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</si>
  <si>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</si>
  <si>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</si>
  <si>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</si>
  <si>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</si>
  <si>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</si>
  <si>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</si>
  <si>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</si>
  <si>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</si>
  <si>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</si>
  <si>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</si>
  <si>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</si>
  <si>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</si>
  <si>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</si>
  <si>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</si>
  <si>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</si>
  <si>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</si>
  <si>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</si>
  <si>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</si>
  <si>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</si>
  <si>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</si>
  <si>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</si>
  <si>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</si>
  <si>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</si>
  <si>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</si>
  <si>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</si>
  <si>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</si>
  <si>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</si>
  <si>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</si>
  <si>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</si>
  <si>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</si>
  <si>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</si>
  <si>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</si>
  <si>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</si>
  <si>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</si>
  <si>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</si>
  <si>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</si>
  <si>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</si>
  <si>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</si>
  <si>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</si>
  <si>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</si>
  <si>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</si>
  <si>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</si>
  <si>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</si>
  <si>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</si>
  <si>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</si>
  <si>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</si>
  <si>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</si>
  <si>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</si>
  <si>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</si>
  <si>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</si>
  <si>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</si>
  <si>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</si>
  <si>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</si>
  <si>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</si>
  <si>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</si>
  <si>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</si>
  <si>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</si>
  <si>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</si>
  <si>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</si>
  <si>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</si>
  <si>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</si>
  <si>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</si>
  <si>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</si>
  <si>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</si>
  <si>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</si>
  <si>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</si>
  <si>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</si>
  <si>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</si>
  <si>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</si>
  <si>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</si>
  <si>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</si>
  <si>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</si>
  <si>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</si>
  <si>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</si>
  <si>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</si>
  <si>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</si>
  <si>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</si>
  <si>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</si>
  <si>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</si>
  <si>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</si>
  <si>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</si>
  <si>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</si>
  <si>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</si>
  <si>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</si>
  <si>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</si>
  <si>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</si>
  <si>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</si>
  <si>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</si>
  <si>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</si>
  <si>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</si>
  <si>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</si>
  <si>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</si>
  <si>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</si>
  <si>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</si>
  <si>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</si>
  <si>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</si>
  <si>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</si>
  <si>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</si>
  <si>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</si>
  <si>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</si>
  <si>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</si>
  <si>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</si>
  <si>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</si>
  <si>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</si>
  <si>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</si>
  <si>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</si>
  <si>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</si>
  <si>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</si>
  <si>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</si>
  <si>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</si>
  <si>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</si>
  <si>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</si>
  <si>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</si>
  <si>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</si>
  <si>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</si>
  <si>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</si>
  <si>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</si>
  <si>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</si>
  <si>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</si>
  <si>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</si>
  <si>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</si>
  <si>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</si>
  <si>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</si>
  <si>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</si>
  <si>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</si>
  <si>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</si>
  <si>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</si>
  <si>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</si>
  <si>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</si>
  <si>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</si>
  <si>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</si>
  <si>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</si>
  <si>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</si>
  <si>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</si>
  <si>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</si>
  <si>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</si>
  <si>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</si>
  <si>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</si>
  <si>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</si>
  <si>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</si>
  <si>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</si>
  <si>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</si>
  <si>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</si>
  <si>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</si>
  <si>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</si>
  <si>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</si>
  <si>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</si>
  <si>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</si>
  <si>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</si>
  <si>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</si>
  <si>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</si>
  <si>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</si>
  <si>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</si>
  <si>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</si>
  <si>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</si>
  <si>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</si>
  <si>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</si>
  <si>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</si>
  <si>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</si>
  <si>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</si>
  <si>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</si>
  <si>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</si>
  <si>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</si>
  <si>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</si>
  <si>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</si>
  <si>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</si>
  <si>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</si>
  <si>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</si>
  <si>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</si>
  <si>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</si>
  <si>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</si>
  <si>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</si>
  <si>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</si>
  <si>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</si>
  <si>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</si>
  <si>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</si>
  <si>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</si>
  <si>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</si>
  <si>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</si>
  <si>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</si>
  <si>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</si>
  <si>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</si>
  <si>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</si>
  <si>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</si>
  <si>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</si>
  <si>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</si>
  <si>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</si>
  <si>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</si>
  <si>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</si>
  <si>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</si>
  <si>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</si>
  <si>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</si>
  <si>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</si>
  <si>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</si>
  <si>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</si>
  <si>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</si>
  <si>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</si>
  <si>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</si>
  <si>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</si>
  <si>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</si>
  <si>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</si>
  <si>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</si>
  <si>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</si>
  <si>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</si>
  <si>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</si>
  <si>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</si>
  <si>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</si>
  <si>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</si>
  <si>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</si>
  <si>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</si>
  <si>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</si>
  <si>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</si>
  <si>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</si>
  <si>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</si>
  <si>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</si>
  <si>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</si>
  <si>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</si>
  <si>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</si>
  <si>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</si>
  <si>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</si>
  <si>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</si>
  <si>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</si>
  <si>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</si>
  <si>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</si>
  <si>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</si>
  <si>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</si>
  <si>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</si>
  <si>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</si>
  <si>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</si>
  <si>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</si>
  <si>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</si>
  <si>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</si>
  <si>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</si>
  <si>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</si>
  <si>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</si>
  <si>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</si>
  <si>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</si>
  <si>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</si>
  <si>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</si>
  <si>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</si>
  <si>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</si>
  <si>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</si>
  <si>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</si>
  <si>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</si>
  <si>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</si>
  <si>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</si>
  <si>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</si>
  <si>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</si>
  <si>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</si>
  <si>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</si>
  <si>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</si>
  <si>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</si>
  <si>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</si>
  <si>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</si>
  <si>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</si>
  <si>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</si>
  <si>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</si>
  <si>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</si>
  <si>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</si>
  <si>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</si>
  <si>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</si>
  <si>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</si>
  <si>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</si>
  <si>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</si>
  <si>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</si>
  <si>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</si>
  <si>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</si>
  <si>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</si>
  <si>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</si>
  <si>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</si>
  <si>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</si>
  <si>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</si>
  <si>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</si>
  <si>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</si>
  <si>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</si>
  <si>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</si>
  <si>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</si>
  <si>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</si>
  <si>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</si>
  <si>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</si>
  <si>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</si>
  <si>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</si>
  <si>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</si>
  <si>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</si>
  <si>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</si>
  <si>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</si>
  <si>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</si>
  <si>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</si>
  <si>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</si>
  <si>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</si>
  <si>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</si>
  <si>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</si>
  <si>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</si>
  <si>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</si>
  <si>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</si>
  <si>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</si>
  <si>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</si>
  <si>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</si>
  <si>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</si>
  <si>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</si>
  <si>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</si>
  <si>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</si>
  <si>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</si>
  <si>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</si>
  <si>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</si>
  <si>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</si>
  <si>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</si>
  <si>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</si>
  <si>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</si>
  <si>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</si>
  <si>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</si>
  <si>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</si>
  <si>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</si>
  <si>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</si>
  <si>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</si>
  <si>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</si>
  <si>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</si>
  <si>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</si>
  <si>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</si>
  <si>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</si>
  <si>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</si>
  <si>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</si>
  <si>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</si>
  <si>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</si>
  <si>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</si>
  <si>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</si>
  <si>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</si>
  <si>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</si>
  <si>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</si>
  <si>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</si>
  <si>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</si>
  <si>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</si>
  <si>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</si>
  <si>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</si>
  <si>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</si>
  <si>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</si>
  <si>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</si>
  <si>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</si>
  <si>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</si>
  <si>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</si>
  <si>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</si>
  <si>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</si>
  <si>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</si>
  <si>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</si>
  <si>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</si>
  <si>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</si>
  <si>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</si>
  <si>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</si>
  <si>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</si>
  <si>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</si>
  <si>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</si>
  <si>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</si>
  <si>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</si>
  <si>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</si>
  <si>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</si>
  <si>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</si>
  <si>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</si>
  <si>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</si>
  <si>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</si>
  <si>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</si>
  <si>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</si>
  <si>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</si>
  <si>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</si>
  <si>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</si>
  <si>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</si>
  <si>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</si>
  <si>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</si>
  <si>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</si>
  <si>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</si>
  <si>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</si>
  <si>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</si>
  <si>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</si>
  <si>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</si>
  <si>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</si>
  <si>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</si>
  <si>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</si>
  <si>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</si>
  <si>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</si>
  <si>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</si>
  <si>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</si>
  <si>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</si>
  <si>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</si>
  <si>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</si>
  <si>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</si>
  <si>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</si>
  <si>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</si>
  <si>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</si>
  <si>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</si>
  <si>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</si>
  <si>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</si>
  <si>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</si>
  <si>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</si>
  <si>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</si>
  <si>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</si>
  <si>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</si>
  <si>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</si>
  <si>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</si>
  <si>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</si>
  <si>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</si>
  <si>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</si>
  <si>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</si>
  <si>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</si>
  <si>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</si>
  <si>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</si>
  <si>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</si>
  <si>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</si>
  <si>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</si>
  <si>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</si>
  <si>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</si>
  <si>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</si>
  <si>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</si>
  <si>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</si>
  <si>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</si>
  <si>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</si>
  <si>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</si>
  <si>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</si>
  <si>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</si>
  <si>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</si>
  <si>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</si>
  <si>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</si>
  <si>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</si>
  <si>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</si>
  <si>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</si>
  <si>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</si>
  <si>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</si>
  <si>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</si>
  <si>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</si>
  <si>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</si>
  <si>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</si>
  <si>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</si>
  <si>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</si>
  <si>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</si>
  <si>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</si>
  <si>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</si>
  <si>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</si>
  <si>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</si>
  <si>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</si>
  <si>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</si>
  <si>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</si>
  <si>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</si>
  <si>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</si>
  <si>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</si>
  <si>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</si>
  <si>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</si>
  <si>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</si>
  <si>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</si>
  <si>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</si>
  <si>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</si>
  <si>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</si>
  <si>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</si>
  <si>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</si>
  <si>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</si>
  <si>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</si>
  <si>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</si>
  <si>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</si>
  <si>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</si>
  <si>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</si>
  <si>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</si>
  <si>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</si>
  <si>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</si>
  <si>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</si>
  <si>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</si>
  <si>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</si>
  <si>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</si>
  <si>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</si>
  <si>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</si>
  <si>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</si>
  <si>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</si>
  <si>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</si>
  <si>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</si>
  <si>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</si>
  <si>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</si>
  <si>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</si>
  <si>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</si>
  <si>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</si>
  <si>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</si>
  <si>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</si>
  <si>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</si>
  <si>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</si>
  <si>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</si>
  <si>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</si>
  <si>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</si>
  <si>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</si>
  <si>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</si>
  <si>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</si>
  <si>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</si>
  <si>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</si>
  <si>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</si>
  <si>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</si>
  <si>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</si>
  <si>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</si>
  <si>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</si>
  <si>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</si>
  <si>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</si>
  <si>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</si>
  <si>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</si>
  <si>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</si>
  <si>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</si>
  <si>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</si>
  <si>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</si>
  <si>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</si>
  <si>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</si>
  <si>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</si>
  <si>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</si>
  <si>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</si>
  <si>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</si>
  <si>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</si>
  <si>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</si>
  <si>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</si>
  <si>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</si>
  <si>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</si>
  <si>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</si>
  <si>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</si>
  <si>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</si>
  <si>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</si>
  <si>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</si>
  <si>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</si>
  <si>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</si>
  <si>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</si>
  <si>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</si>
  <si>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</si>
  <si>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</si>
  <si>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</si>
  <si>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</si>
  <si>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</si>
  <si>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</si>
  <si>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</si>
  <si>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</si>
  <si>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</si>
  <si>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</si>
  <si>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</si>
  <si>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</si>
  <si>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</si>
  <si>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</si>
  <si>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</si>
  <si>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</si>
  <si>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</si>
  <si>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</si>
  <si>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</si>
  <si>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</si>
  <si>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</si>
  <si>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</si>
  <si>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</si>
  <si>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</si>
  <si>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</si>
  <si>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</si>
  <si>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</si>
  <si>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</si>
  <si>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</si>
  <si>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</si>
  <si>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</si>
  <si>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</si>
  <si>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</si>
  <si>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</si>
  <si>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</si>
  <si>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</si>
  <si>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</si>
  <si>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</si>
  <si>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</si>
  <si>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</si>
  <si>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</si>
  <si>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</si>
  <si>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</si>
  <si>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</si>
  <si>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</si>
  <si>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</si>
  <si>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</si>
  <si>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</si>
  <si>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</si>
  <si>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</si>
  <si>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</si>
  <si>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</si>
  <si>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</si>
  <si>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</si>
  <si>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</si>
  <si>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</si>
  <si>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</si>
  <si>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</si>
  <si>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</si>
  <si>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</si>
  <si>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</si>
  <si>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</si>
  <si>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</si>
  <si>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</si>
  <si>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</si>
  <si>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</si>
  <si>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</si>
  <si>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</si>
  <si>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</si>
  <si>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</si>
  <si>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</si>
  <si>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</si>
  <si>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</si>
  <si>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</si>
  <si>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</si>
  <si>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</si>
  <si>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</si>
  <si>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</si>
  <si>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</si>
  <si>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</si>
  <si>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</si>
  <si>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</si>
  <si>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</si>
  <si>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</si>
  <si>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</si>
  <si>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</si>
  <si>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</si>
  <si>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</si>
  <si>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</si>
  <si>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</si>
  <si>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</si>
  <si>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</si>
  <si>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</si>
  <si>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</si>
  <si>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</si>
  <si>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</si>
  <si>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</si>
  <si>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</si>
  <si>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</si>
  <si>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</si>
  <si>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</si>
  <si>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</si>
  <si>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</si>
  <si>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</si>
  <si>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</si>
  <si>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</si>
  <si>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</si>
  <si>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</si>
  <si>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</si>
  <si>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</si>
  <si>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</si>
  <si>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</si>
  <si>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</si>
  <si>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</si>
  <si>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</si>
  <si>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</si>
  <si>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</si>
  <si>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</si>
  <si>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</si>
  <si>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</si>
  <si>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</si>
  <si>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</si>
  <si>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</si>
  <si>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</si>
  <si>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</si>
  <si>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</si>
  <si>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</si>
  <si>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</si>
  <si>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</si>
  <si>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</si>
  <si>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</si>
  <si>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</si>
  <si>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</si>
  <si>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</si>
  <si>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</si>
  <si>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</si>
  <si>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</si>
  <si>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</si>
  <si>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</si>
  <si>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</si>
  <si>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</si>
  <si>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</si>
  <si>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</si>
  <si>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</si>
  <si>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</si>
  <si>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</si>
  <si>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</si>
  <si>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</si>
  <si>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</si>
  <si>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</si>
  <si>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</si>
  <si>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</si>
  <si>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</si>
  <si>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</si>
  <si>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</si>
  <si>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</si>
  <si>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</si>
  <si>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</si>
  <si>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</si>
  <si>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</si>
  <si>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</si>
  <si>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</si>
  <si>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</si>
  <si>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</si>
  <si>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</si>
  <si>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</si>
  <si>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</si>
  <si>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</si>
  <si>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</si>
  <si>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</si>
  <si>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</si>
  <si>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</si>
  <si>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</si>
  <si>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</si>
  <si>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</si>
  <si>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</si>
  <si>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</si>
  <si>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</si>
  <si>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</si>
  <si>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</si>
  <si>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</si>
  <si>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</si>
  <si>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</si>
  <si>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</si>
  <si>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</si>
  <si>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</si>
  <si>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</si>
  <si>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</si>
  <si>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</si>
  <si>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</si>
  <si>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</si>
  <si>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</si>
  <si>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</si>
  <si>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</si>
  <si>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</si>
  <si>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</si>
  <si>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</si>
  <si>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</si>
  <si>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</si>
  <si>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</si>
  <si>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</si>
  <si>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</si>
  <si>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</si>
  <si>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</si>
  <si>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</si>
  <si>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</si>
  <si>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</si>
  <si>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</si>
  <si>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</si>
  <si>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</si>
  <si>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</si>
  <si>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</si>
  <si>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</si>
  <si>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</si>
  <si>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</si>
  <si>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</si>
  <si>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</si>
  <si>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</si>
  <si>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</si>
  <si>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</si>
  <si>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</si>
  <si>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</si>
  <si>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</si>
  <si>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</si>
  <si>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</si>
  <si>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</si>
  <si>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</si>
  <si>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</si>
  <si>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</si>
  <si>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</si>
  <si>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</si>
  <si>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</si>
  <si>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</si>
  <si>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</si>
  <si>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</si>
  <si>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</si>
  <si>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</si>
  <si>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</si>
  <si>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</si>
  <si>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</si>
  <si>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</si>
  <si>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</si>
  <si>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</si>
  <si>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</si>
  <si>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</si>
  <si>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</si>
  <si>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</si>
  <si>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</si>
  <si>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</si>
  <si>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</si>
  <si>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</si>
  <si>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</si>
  <si>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</si>
  <si>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</si>
  <si>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</si>
  <si>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</si>
  <si>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</si>
  <si>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</si>
  <si>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</si>
  <si>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</si>
  <si>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</si>
  <si>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</si>
  <si>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</si>
  <si>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</si>
  <si>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</si>
  <si>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</si>
  <si>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</si>
  <si>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</si>
  <si>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</si>
  <si>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</si>
  <si>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</si>
  <si>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</si>
  <si>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</si>
  <si>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</si>
  <si>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</si>
  <si>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</si>
  <si>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</si>
  <si>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</si>
  <si>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</si>
  <si>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</si>
  <si>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</si>
  <si>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</si>
  <si>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</si>
  <si>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</si>
  <si>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</si>
  <si>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</si>
  <si>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</si>
  <si>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</si>
  <si>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</si>
  <si>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</si>
  <si>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</si>
  <si>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</si>
  <si>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</si>
  <si>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</si>
  <si>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</si>
  <si>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</si>
  <si>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</si>
  <si>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</si>
  <si>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</si>
  <si>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</si>
  <si>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</si>
  <si>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</si>
  <si>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</si>
  <si>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</si>
  <si>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</si>
  <si>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</si>
  <si>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</si>
  <si>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</si>
  <si>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</si>
  <si>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</si>
  <si>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</si>
  <si>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</si>
  <si>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</si>
  <si>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</si>
  <si>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</si>
  <si>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</si>
  <si>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</si>
  <si>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</si>
  <si>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</si>
  <si>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</si>
  <si>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</si>
  <si>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</si>
  <si>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</si>
  <si>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</si>
  <si>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</si>
  <si>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</si>
  <si>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</si>
  <si>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</si>
  <si>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</si>
  <si>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</si>
  <si>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</si>
  <si>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</si>
  <si>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</si>
  <si>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</si>
  <si>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</si>
  <si>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</si>
  <si>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</si>
  <si>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</si>
  <si>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</si>
  <si>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</si>
  <si>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</si>
  <si>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</si>
  <si>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</si>
  <si>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</si>
  <si>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</si>
  <si>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</si>
  <si>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</si>
  <si>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</si>
  <si>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</si>
  <si>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</si>
  <si>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</si>
  <si>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</si>
  <si>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</si>
  <si>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</si>
  <si>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</si>
  <si>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</si>
  <si>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</si>
  <si>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</si>
  <si>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</si>
  <si>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</si>
  <si>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</si>
  <si>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</si>
  <si>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</si>
  <si>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</si>
  <si>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</si>
  <si>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</si>
  <si>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</si>
  <si>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</si>
  <si>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</si>
  <si>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</si>
  <si>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</si>
  <si>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</si>
  <si>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</si>
  <si>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</si>
  <si>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</si>
  <si>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</si>
  <si>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</si>
  <si>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</si>
  <si>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</si>
  <si>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</si>
  <si>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</si>
  <si>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</si>
  <si>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</si>
  <si>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</si>
  <si>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</si>
  <si>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</si>
  <si>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</si>
  <si>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</si>
  <si>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</si>
  <si>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</si>
  <si>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</si>
  <si>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</si>
  <si>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</si>
  <si>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</si>
  <si>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</si>
  <si>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</si>
  <si>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</si>
  <si>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</si>
  <si>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</si>
  <si>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</si>
  <si>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</si>
  <si>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</si>
  <si>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</si>
  <si>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</si>
  <si>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</si>
  <si>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</si>
  <si>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</si>
  <si>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</si>
  <si>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</si>
  <si>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</si>
  <si>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</si>
  <si>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</si>
  <si>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</si>
  <si>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</si>
  <si>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</si>
  <si>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</si>
  <si>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</si>
  <si>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</si>
  <si>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</si>
  <si>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</si>
  <si>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</si>
  <si>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</si>
  <si>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</si>
  <si>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</si>
  <si>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</si>
  <si>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</si>
  <si>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Metric</t>
  </si>
  <si>
    <t xml:space="preserve">Contrl formula </t>
  </si>
  <si>
    <t>User count</t>
  </si>
  <si>
    <t>Landing page visit rate</t>
  </si>
  <si>
    <t>Trial Start Rate</t>
  </si>
  <si>
    <t xml:space="preserve">onboarding Completion Rate </t>
  </si>
  <si>
    <t xml:space="preserve">Paid Conversion Rate </t>
  </si>
  <si>
    <t xml:space="preserve">Avg Revenue Per User </t>
  </si>
  <si>
    <t xml:space="preserve">Avg Revenue Per Converted User </t>
  </si>
  <si>
    <t xml:space="preserve">Average Engagement Score </t>
  </si>
  <si>
    <t>Control conversions</t>
  </si>
  <si>
    <t xml:space="preserve">Control Total </t>
  </si>
  <si>
    <t xml:space="preserve">Control Rate </t>
  </si>
  <si>
    <t>Treatment conversions</t>
  </si>
  <si>
    <t>Treatment Total</t>
  </si>
  <si>
    <t xml:space="preserve">Treatment Rate </t>
  </si>
  <si>
    <t xml:space="preserve">Pooled Proportion </t>
  </si>
  <si>
    <t xml:space="preserve">Standard Error </t>
  </si>
  <si>
    <t xml:space="preserve">Z Statistic </t>
  </si>
  <si>
    <t xml:space="preserve">P Value </t>
  </si>
  <si>
    <t xml:space="preserve">Decision </t>
  </si>
  <si>
    <t xml:space="preserve">Treatment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</si>
</sst>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4CD3-F708-451E-8085-D3BB12B958D4}">
  <dimension ref="A1:P1409"/>
  <sheetViews>
    <sheetView topLeftCell="B1378" workbookViewId="0">
      <selection activeCell="S711" sqref="S711"/>
    </sheetView>
  </sheetViews>
  <sheetFormatPr defaultRowHeight="14.4"/>
  <cols>
    <col min="1" max="1" width="11" bestFit="1" customWidth="1"/>
    <col min="2" max="2" width="10.33203125" bestFit="1" customWidth="1"/>
    <col min="3" max="3" width="9.5546875" bestFit="1" customWidth="1"/>
    <col min="4" max="4" width="7.21875" bestFit="1" customWidth="1"/>
    <col min="5" max="5" width="8.6640625" bestFit="1" customWidth="1"/>
    <col min="6" max="6" width="10.33203125" bestFit="1" customWidth="1"/>
    <col min="7" max="7" width="8.21875" bestFit="1" customWidth="1"/>
    <col min="8" max="8" width="8.6640625" bestFit="1" customWidth="1"/>
    <col min="11" max="11" width="8.77734375" bestFit="1" customWidth="1"/>
    <col min="12" max="12" width="8" bestFit="1" customWidth="1"/>
    <col min="13" max="13" width="8.5546875" bestFit="1" customWidth="1"/>
    <col min="14" max="14" width="8.44140625" bestFit="1" customWidth="1"/>
    <col min="16" max="16" width="8.21875" bestFit="1" customWidth="1"/>
  </cols>
  <sheetData>
    <row r="1" spans="1:16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autoFilter ref="A1:P1409" xr:uid="{9CF74CD3-F708-451E-8085-D3BB12B958D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9F85-91B5-4EE8-9DA7-1EAD400FBA68}">
  <dimension ref="A1:C9"/>
  <sheetViews>
    <sheetView tabSelected="1" workbookViewId="0">
      <selection activeCell="J20" sqref="J20"/>
    </sheetView>
  </sheetViews>
  <sheetFormatPr defaultRowHeight="14.4"/>
  <cols>
    <col min="1" max="1" width="28.44140625" bestFit="1" customWidth="1"/>
    <col min="2" max="2" width="13.44140625" bestFit="1" customWidth="1"/>
  </cols>
  <sheetData>
    <row r="1" spans="1:3">
      <c r="A1" t="s">
        <v>1433</v>
      </c>
      <c r="B1" t="s">
        <v>1434</v>
      </c>
      <c r="C1" t="s">
        <v>1454</v>
      </c>
    </row>
    <row r="2" spans="1:3">
      <c r="A2" t="s">
        <v>1435</v>
      </c>
      <c r="B2">
        <f>COUNTIF(Sheet1!C2:C1409,"Control")</f>
        <v>693</v>
      </c>
      <c r="C2">
        <f>COUNTIF(Sheet1!C2:C1409,"Treatment")</f>
        <v>715</v>
      </c>
    </row>
    <row r="3" spans="1:3">
      <c r="A3" t="s">
        <v>1436</v>
      </c>
      <c r="B3">
        <f>COUNTIFS(Sheet1!C2:C1409,"Control",Sheet1!H2:H1409,"1")/693</f>
        <v>0.63636363636363635</v>
      </c>
      <c r="C3">
        <f>COUNTIFS(Sheet1!C2:C1409,"Treatment",Sheet1!H2:H1409,"1")/C2</f>
        <v>0.72587412587412592</v>
      </c>
    </row>
    <row r="4" spans="1:3">
      <c r="A4" t="s">
        <v>1437</v>
      </c>
      <c r="B4">
        <f>COUNTIFS(Sheet1!C2:C1409,"Control",Sheet1!I2:I1409,"1")/693</f>
        <v>0.25108225108225107</v>
      </c>
      <c r="C4">
        <f>COUNTIFS(Sheet1!C2:C1409,"Treatment",Sheet1!I2:I1409,"1")/C2</f>
        <v>0.29090909090909089</v>
      </c>
    </row>
    <row r="5" spans="1:3">
      <c r="A5" t="s">
        <v>1438</v>
      </c>
      <c r="B5">
        <f>COUNTIFS(Sheet1!C2:C1409,"Control",Sheet1!J2:J1409,"1")/693</f>
        <v>0.15584415584415584</v>
      </c>
      <c r="C5">
        <f>COUNTIFS(Sheet1!C2:C1409,"Treatment",Sheet1!J2:J1409,"1")/C2</f>
        <v>0.21258741258741259</v>
      </c>
    </row>
    <row r="6" spans="1:3">
      <c r="A6" t="s">
        <v>1439</v>
      </c>
      <c r="B6">
        <f>COUNTIFS(Sheet1!C2:C1409,"Control",Sheet1!K2:K1409,"1")/693</f>
        <v>3.1746031746031744E-2</v>
      </c>
      <c r="C6">
        <f>COUNTIFS(Sheet1!C2:C1409,"Treatment",Sheet1!K2:K1409,"1")/693</f>
        <v>7.2150072150072145E-2</v>
      </c>
    </row>
    <row r="7" spans="1:3">
      <c r="A7" t="s">
        <v>1440</v>
      </c>
      <c r="B7">
        <f>AVERAGEIF(Sheet1!C2:C1409,"Control",Sheet1!L2:L1409)</f>
        <v>51.74932178932179</v>
      </c>
      <c r="C7">
        <f>AVERAGEIF(Sheet1!C2:C1409,"Treatment",Sheet1!L2:L1409)</f>
        <v>53.875118881118873</v>
      </c>
    </row>
    <row r="8" spans="1:3">
      <c r="A8" t="s">
        <v>1441</v>
      </c>
      <c r="B8">
        <f>SUMIF(Sheet1!C2:C1409,"Control",Sheet1!L2:L1409)/COUNTIF(Sheet1!K2:K1409,"1")</f>
        <v>498.08722222222218</v>
      </c>
      <c r="C8">
        <f>SUMIF(Sheet1!C2:C1409,"Treatment",Sheet1!L2:L1409)/COUNTIF(Sheet1!K2:K1409,"1")</f>
        <v>535.00986111111104</v>
      </c>
    </row>
    <row r="9" spans="1:3">
      <c r="A9" t="s">
        <v>1442</v>
      </c>
      <c r="B9">
        <f>AVERAGEIF(Sheet1!C1:C1409,"Control",Sheet1!P:P)</f>
        <v>57.026200873362491</v>
      </c>
      <c r="C9">
        <f>AVERAGEIF(Sheet1!C1:C1409,"Treatment",Sheet1!P:P)</f>
        <v>62.931966053748233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C737-A0AB-498F-9C9D-4A9576DB80E2}">
  <dimension ref="A1:B11"/>
  <sheetViews>
    <sheetView workbookViewId="0">
      <selection activeCell="C16" sqref="C16"/>
    </sheetView>
  </sheetViews>
  <sheetFormatPr defaultRowHeight="14.4"/>
  <cols>
    <col min="1" max="1" width="17.44140625" bestFit="1" customWidth="1"/>
  </cols>
  <sheetData>
    <row r="1" spans="1:2">
      <c r="A1" t="s">
        <v>1443</v>
      </c>
      <c r="B1">
        <f>COUNTIFS(Sheet1!C2:C1409,"Control",Sheet1!K2:K1409,"1")</f>
        <v>22</v>
      </c>
    </row>
    <row r="2" spans="1:2">
      <c r="A2" t="s">
        <v>1444</v>
      </c>
      <c r="B2">
        <f>COUNTIF(Sheet1!C1:C1409,"Control")</f>
        <v>693</v>
      </c>
    </row>
    <row r="3" spans="1:2">
      <c r="A3" t="s">
        <v>1445</v>
      </c>
      <c r="B3">
        <f>B1/B2</f>
        <v>3.1746031746031744E-2</v>
      </c>
    </row>
    <row r="4" spans="1:2">
      <c r="A4" t="s">
        <v>1446</v>
      </c>
      <c r="B4">
        <f>COUNTIFS(Sheet1!C2:C1409,"Treatment",Sheet1!K2:K1409,"1")</f>
        <v>50</v>
      </c>
    </row>
    <row r="5" spans="1:2">
      <c r="A5" t="s">
        <v>1447</v>
      </c>
      <c r="B5">
        <f>COUNTIF(Sheet1!C1:C1409,"Treatment")</f>
        <v>715</v>
      </c>
    </row>
    <row r="6" spans="1:2">
      <c r="A6" t="s">
        <v>1448</v>
      </c>
      <c r="B6">
        <f>B4/B5</f>
        <v>6.9930069930069935E-2</v>
      </c>
    </row>
    <row r="7" spans="1:2">
      <c r="A7" t="s">
        <v>1449</v>
      </c>
      <c r="B7">
        <f>(B1+B4)/(B2+B5)</f>
        <v>5.113636363636364E-2</v>
      </c>
    </row>
    <row r="8" spans="1:2">
      <c r="A8" t="s">
        <v>1450</v>
      </c>
      <c r="B8">
        <f>SQRT(B7*(1-B7)*(1/B2+1/B5))</f>
        <v>1.1742174001237782E-2</v>
      </c>
    </row>
    <row r="9" spans="1:2">
      <c r="A9" t="s">
        <v>1451</v>
      </c>
      <c r="B9">
        <f>(B6-B3)/B8</f>
        <v>3.2518712616601562</v>
      </c>
    </row>
    <row r="10" spans="1:2">
      <c r="A10" t="s">
        <v>1452</v>
      </c>
      <c r="B10">
        <f>1-_xlfn.NORM.S.DIST(B9,TRUE)</f>
        <v>5.7323968694367178E-4</v>
      </c>
    </row>
    <row r="11" spans="1:2">
      <c r="A11" t="s">
        <v>1453</v>
      </c>
      <c r="B11" t="str">
        <f>IF(B10&lt;0.05,"Reject H0 - Launch","Fail to Reject H0 - Do Not Launch")</f>
        <v>Reject H0 - Launch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Hypothesis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KALBANDE</dc:creator>
  <cp:lastModifiedBy>DHIRAJ KALBANDE</cp:lastModifiedBy>
  <dcterms:created xsi:type="dcterms:W3CDTF">2026-06-28T05:59:13Z</dcterms:created>
  <dcterms:modified xsi:type="dcterms:W3CDTF">2026-06-28T14:11:28Z</dcterms:modified>
</cp:coreProperties>
</file>